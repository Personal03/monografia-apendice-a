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olução Cotistas" sheetId="1" r:id="rId4"/>
    <sheet state="visible" name="Evolução PL" sheetId="2" r:id="rId5"/>
    <sheet state="visible" name="Distribuição por tipo de Invest" sheetId="3" r:id="rId6"/>
    <sheet state="visible" name="Distribuição por Setor" sheetId="4" r:id="rId7"/>
    <sheet state="visible" name="Retorno" sheetId="5" r:id="rId8"/>
  </sheets>
  <definedNames>
    <definedName name="PL_PORTIPO_MENSAL_OLD">#REF!</definedName>
    <definedName name="dados_primarios">#REF!</definedName>
    <definedName name="TOTAIS_POR_TIPO_MENSAL_ANTIGO">#REF!</definedName>
    <definedName name="daybefora">#REF!</definedName>
    <definedName name="Portfolio">#REF!</definedName>
    <definedName name="PL">#REF!</definedName>
    <definedName name="base_12_meses2">#REF!</definedName>
    <definedName name="AuM_INST">#REF!</definedName>
    <definedName name="carteira">#REF!</definedName>
    <definedName name="diaanterior2">#REF!</definedName>
    <definedName name="resultado2">#REF!</definedName>
    <definedName name="PL_PORTIPO_MENSAL">#REF!</definedName>
    <definedName name="profile">#REF!</definedName>
    <definedName name="Year_base">#REF!</definedName>
    <definedName name="PL_TOTAL_MENSAL">#REF!</definedName>
    <definedName name="Month_base">#REF!</definedName>
    <definedName name="feriados">#REF!</definedName>
    <definedName name="aUm_MONTHLY">#REF!</definedName>
    <definedName name="tipos">#REF!</definedName>
    <definedName name="base_mes2">#REF!</definedName>
    <definedName name="AuM">#REF!</definedName>
    <definedName name="Calculations">#REF!</definedName>
    <definedName name="Interest_rate">#REF!</definedName>
    <definedName name="PL_MENSAL">#REF!</definedName>
    <definedName name="perfil2">#REF!</definedName>
    <definedName name="calculos2">#REF!</definedName>
    <definedName name="Indicators">#REF!</definedName>
    <definedName name="pl_inst">#REF!</definedName>
    <definedName name="Month12_basis">#REF!</definedName>
    <definedName name="CDI_CDB">#REF!</definedName>
    <definedName name="holidays">#REF!</definedName>
    <definedName name="INDICADORES_DIVERSOS">#REF!</definedName>
    <definedName name="First_data">#REF!</definedName>
    <definedName name="base_ano2">#REF!</definedName>
  </definedNames>
  <calcPr/>
</workbook>
</file>

<file path=xl/sharedStrings.xml><?xml version="1.0" encoding="utf-8"?>
<sst xmlns="http://schemas.openxmlformats.org/spreadsheetml/2006/main" count="60" uniqueCount="34">
  <si>
    <t>Fonte:</t>
  </si>
  <si>
    <t>Elaboração Própria</t>
  </si>
  <si>
    <t>AMBIMA</t>
  </si>
  <si>
    <t>https://data.anbima.com.br/publicacoes/boletim-de-fundos-de-investimento</t>
  </si>
  <si>
    <t>Pessoas Físicas/Individuais</t>
  </si>
  <si>
    <t>Investidores Institucionais</t>
  </si>
  <si>
    <t>Investidores Estrangeiros</t>
  </si>
  <si>
    <t>Outros</t>
  </si>
  <si>
    <t>Fonte</t>
  </si>
  <si>
    <t>https://www.infomoney.com.br/onde-investir/fiis-ganham-mais-de-400-mil-investidores-em-2023-patrimonio-liquido-tambem-cresce/</t>
  </si>
  <si>
    <t>data_referencia_unificada</t>
  </si>
  <si>
    <t>Hospital</t>
  </si>
  <si>
    <t>Hotel</t>
  </si>
  <si>
    <t>Híbrido</t>
  </si>
  <si>
    <t>Lajes Corporativas</t>
  </si>
  <si>
    <t>Logística</t>
  </si>
  <si>
    <t>Residencial</t>
  </si>
  <si>
    <t>Shoppings</t>
  </si>
  <si>
    <t>Títulos e Val. Mob.</t>
  </si>
  <si>
    <t>Mês</t>
  </si>
  <si>
    <t>Ano</t>
  </si>
  <si>
    <t>Fonte: CVM Informes Mensais Estruturados</t>
  </si>
  <si>
    <t>https://dados.cvm.gov.br/dataset/fii-doc-inf_mensal</t>
  </si>
  <si>
    <t>IFIX</t>
  </si>
  <si>
    <t>https://maisretorno.com/indice/ifix</t>
  </si>
  <si>
    <t>CDI</t>
  </si>
  <si>
    <t>https://maisretorno.com/indice/cdi</t>
  </si>
  <si>
    <t>IBOV</t>
  </si>
  <si>
    <t>https://maisretorno.com/indice/ibov</t>
  </si>
  <si>
    <t>IPCA</t>
  </si>
  <si>
    <t>https://maisretorno.com/indice/ipca</t>
  </si>
  <si>
    <t xml:space="preserve">Tabela 1 - Retornos Anuais Indicadores </t>
  </si>
  <si>
    <t>CDI Líquido de IR (15%)</t>
  </si>
  <si>
    <t>IPCA Líquido de IR (15%)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</si>
</sst>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* #,##0_);_(* \(#,##0\);_(* &quot;-&quot;??_);_(@_)"/>
    <numFmt numFmtId="165" formatCode="#,##0.0"/>
    <numFmt numFmtId="166" formatCode="0.0%"/>
    <numFmt numFmtId="167" formatCode="yyyy-mm-dd hh:mm:ss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Arial"/>
    </font>
    <font>
      <sz val="10.0"/>
      <color theme="1"/>
      <name val="Arial"/>
    </font>
    <font>
      <sz val="8.0"/>
      <color theme="1"/>
      <name val="Times New Roman"/>
    </font>
    <font>
      <sz val="7.0"/>
      <color theme="1"/>
      <name val="Times New Roman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3" xfId="0" applyAlignment="1" applyFont="1" applyNumberFormat="1">
      <alignment horizontal="center"/>
    </xf>
    <xf borderId="0" fillId="0" fontId="4" numFmtId="3" xfId="0" applyAlignment="1" applyFont="1" applyNumberFormat="1">
      <alignment horizontal="center" vertical="center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shrinkToFit="0" wrapText="1"/>
    </xf>
    <xf borderId="0" fillId="0" fontId="1" numFmtId="165" xfId="0" applyAlignment="1" applyFont="1" applyNumberFormat="1">
      <alignment horizontal="center"/>
    </xf>
    <xf borderId="0" fillId="0" fontId="1" numFmtId="165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left" readingOrder="0"/>
    </xf>
    <xf borderId="0" fillId="0" fontId="1" numFmtId="166" xfId="0" applyAlignment="1" applyFont="1" applyNumberFormat="1">
      <alignment horizontal="center" readingOrder="0"/>
    </xf>
    <xf borderId="0" fillId="0" fontId="1" numFmtId="166" xfId="0" applyAlignment="1" applyFont="1" applyNumberFormat="1">
      <alignment horizontal="center"/>
    </xf>
    <xf borderId="0" fillId="0" fontId="3" numFmtId="167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1" numFmtId="167" xfId="0" applyAlignment="1" applyFont="1" applyNumberFormat="1">
      <alignment readingOrder="0"/>
    </xf>
    <xf borderId="0" fillId="0" fontId="1" numFmtId="166" xfId="0" applyFont="1" applyNumberFormat="1"/>
    <xf borderId="0" fillId="0" fontId="1" numFmtId="10" xfId="0" applyFont="1" applyNumberFormat="1"/>
    <xf borderId="1" fillId="0" fontId="5" numFmtId="0" xfId="0" applyAlignment="1" applyBorder="1" applyFont="1">
      <alignment readingOrder="0"/>
    </xf>
    <xf borderId="1" fillId="0" fontId="5" numFmtId="0" xfId="0" applyAlignment="1" applyBorder="1" applyFont="1">
      <alignment horizontal="center" readingOrder="0"/>
    </xf>
    <xf borderId="0" fillId="0" fontId="5" numFmtId="0" xfId="0" applyAlignment="1" applyFont="1">
      <alignment readingOrder="0"/>
    </xf>
    <xf borderId="0" fillId="0" fontId="6" numFmtId="10" xfId="0" applyAlignment="1" applyFont="1" applyNumberFormat="1">
      <alignment horizontal="center" readingOrder="0" vertical="center"/>
    </xf>
    <xf borderId="0" fillId="0" fontId="1" numFmtId="0" xfId="0" applyFont="1"/>
    <xf borderId="0" fillId="0" fontId="1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000000"/>
                </a:solidFill>
                <a:latin typeface="Arial Narrow"/>
              </a:defRPr>
            </a:pPr>
            <a:r>
              <a:rPr b="1" sz="1400">
                <a:solidFill>
                  <a:srgbClr val="000000"/>
                </a:solidFill>
                <a:latin typeface="Arial Narrow"/>
              </a:rPr>
              <a:t>Número de Investidores em Fundos de Investimento Imobiliário (2006 - 2024)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'Evolução Cotistas'!$C$2</c:f>
            </c:strRef>
          </c:tx>
          <c:spPr>
            <a:solidFill>
              <a:srgbClr val="333399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900">
                    <a:latin typeface="Arial Narrow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'Evolução Cotistas'!$B$3:$B$21</c:f>
            </c:strRef>
          </c:cat>
          <c:val>
            <c:numRef>
              <c:f>'Evolução Cotistas'!$C$3:$C$21</c:f>
              <c:numCache/>
            </c:numRef>
          </c:val>
        </c:ser>
        <c:axId val="890298000"/>
        <c:axId val="741328252"/>
      </c:barChart>
      <c:catAx>
        <c:axId val="890298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Arial Narrow"/>
              </a:defRPr>
            </a:pPr>
          </a:p>
        </c:txPr>
        <c:crossAx val="741328252"/>
      </c:catAx>
      <c:valAx>
        <c:axId val="741328252"/>
        <c:scaling>
          <c:orientation val="minMax"/>
        </c:scaling>
        <c:delete val="0"/>
        <c:axPos val="l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600">
                <a:solidFill>
                  <a:srgbClr val="FFFFFF"/>
                </a:solidFill>
                <a:latin typeface="+mn-lt"/>
              </a:defRPr>
            </a:pPr>
          </a:p>
        </c:txPr>
        <c:crossAx val="8902980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000000"/>
                </a:solidFill>
                <a:latin typeface="Arial Narrow"/>
              </a:defRPr>
            </a:pPr>
            <a:r>
              <a:rPr b="1" sz="1400">
                <a:solidFill>
                  <a:srgbClr val="000000"/>
                </a:solidFill>
                <a:latin typeface="Arial Narrow"/>
              </a:rPr>
              <a:t>Patrimônio Líquido FII em R$ milhões (2006 - 2024)</a:t>
            </a:r>
          </a:p>
        </c:rich>
      </c:tx>
      <c:overlay val="0"/>
    </c:title>
    <c:plotArea>
      <c:layout>
        <c:manualLayout>
          <c:xMode val="edge"/>
          <c:yMode val="edge"/>
          <c:x val="0.06583333333333333"/>
          <c:y val="0.14690026954177898"/>
          <c:w val="0.9032500000000001"/>
          <c:h val="0.7545822102425875"/>
        </c:manualLayout>
      </c:layout>
      <c:lineChart>
        <c:varyColors val="0"/>
        <c:ser>
          <c:idx val="0"/>
          <c:order val="0"/>
          <c:tx>
            <c:strRef>
              <c:f>'Evolução PL'!$C$2</c:f>
            </c:strRef>
          </c:tx>
          <c:spPr>
            <a:ln cmpd="sng">
              <a:solidFill>
                <a:srgbClr val="000080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sz="1000">
                    <a:latin typeface="Arial Narrow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'Evolução PL'!$B$3:$B$21</c:f>
            </c:strRef>
          </c:cat>
          <c:val>
            <c:numRef>
              <c:f>'Evolução PL'!$C$3:$C$21</c:f>
              <c:numCache/>
            </c:numRef>
          </c:val>
          <c:smooth val="0"/>
        </c:ser>
        <c:axId val="57557182"/>
        <c:axId val="1576415849"/>
      </c:lineChart>
      <c:catAx>
        <c:axId val="575571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>
                    <a:solidFill>
                      <a:srgbClr val="000000"/>
                    </a:solidFill>
                    <a:latin typeface="Arial Narrow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Narrow"/>
              </a:defRPr>
            </a:pPr>
          </a:p>
        </c:txPr>
        <c:crossAx val="1576415849"/>
      </c:catAx>
      <c:valAx>
        <c:axId val="1576415849"/>
        <c:scaling>
          <c:orientation val="minMax"/>
          <c:min val="-10.0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>
                    <a:solidFill>
                      <a:srgbClr val="000000"/>
                    </a:solidFill>
                    <a:latin typeface="Arial Narrow"/>
                  </a:rPr>
                  <a:t/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600">
                <a:solidFill>
                  <a:srgbClr val="FFFFFF"/>
                </a:solidFill>
                <a:latin typeface="Arial Narrow"/>
              </a:defRPr>
            </a:pPr>
          </a:p>
        </c:txPr>
        <c:crossAx val="575571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 Narrow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000000"/>
                </a:solidFill>
                <a:latin typeface="Arial Narrow"/>
              </a:defRPr>
            </a:pPr>
            <a:r>
              <a:rPr b="1" sz="1400">
                <a:solidFill>
                  <a:srgbClr val="000000"/>
                </a:solidFill>
                <a:latin typeface="Arial Narrow"/>
              </a:rPr>
              <a:t>Participação na posição em custódia (R$) - Outubro de 2023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'Distribuição por tipo de Invest'!$C$5</c:f>
            </c:strRef>
          </c:tx>
          <c:spPr>
            <a:solidFill>
              <a:srgbClr val="333399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latin typeface="Arial Narrow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'Distribuição por tipo de Invest'!$D$4</c:f>
            </c:strRef>
          </c:cat>
          <c:val>
            <c:numRef>
              <c:f>'Distribuição por tipo de Invest'!$D$5</c:f>
              <c:numCache/>
            </c:numRef>
          </c:val>
        </c:ser>
        <c:ser>
          <c:idx val="1"/>
          <c:order val="1"/>
          <c:tx>
            <c:strRef>
              <c:f>'Distribuição por tipo de Invest'!$C$6</c:f>
            </c:strRef>
          </c:tx>
          <c:spPr>
            <a:solidFill>
              <a:srgbClr val="E9841D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latin typeface="Arial Narrow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'Distribuição por tipo de Invest'!$D$4</c:f>
            </c:strRef>
          </c:cat>
          <c:val>
            <c:numRef>
              <c:f>'Distribuição por tipo de Invest'!$D$6</c:f>
              <c:numCache/>
            </c:numRef>
          </c:val>
        </c:ser>
        <c:ser>
          <c:idx val="2"/>
          <c:order val="2"/>
          <c:tx>
            <c:strRef>
              <c:f>'Distribuição por tipo de Invest'!$C$7</c:f>
            </c:strRef>
          </c:tx>
          <c:spPr>
            <a:solidFill>
              <a:srgbClr val="3F3F3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latin typeface="Arial Narrow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'Distribuição por tipo de Invest'!$D$4</c:f>
            </c:strRef>
          </c:cat>
          <c:val>
            <c:numRef>
              <c:f>'Distribuição por tipo de Invest'!$D$7</c:f>
              <c:numCache/>
            </c:numRef>
          </c:val>
        </c:ser>
        <c:ser>
          <c:idx val="3"/>
          <c:order val="3"/>
          <c:tx>
            <c:strRef>
              <c:f>'Distribuição por tipo de Invest'!$C$8</c:f>
            </c:strRef>
          </c:tx>
          <c:spPr>
            <a:solidFill>
              <a:srgbClr val="EAEAE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latin typeface="Arial Narrow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'Distribuição por tipo de Invest'!$D$4</c:f>
            </c:strRef>
          </c:cat>
          <c:val>
            <c:numRef>
              <c:f>'Distribuição por tipo de Invest'!$D$8</c:f>
              <c:numCache/>
            </c:numRef>
          </c:val>
        </c:ser>
        <c:overlap val="100"/>
        <c:axId val="2072709701"/>
        <c:axId val="571950817"/>
      </c:barChart>
      <c:catAx>
        <c:axId val="207270970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>
                    <a:solidFill>
                      <a:srgbClr val="000000"/>
                    </a:solidFill>
                    <a:latin typeface="Arial Narrow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Narrow"/>
              </a:defRPr>
            </a:pPr>
          </a:p>
        </c:txPr>
        <c:crossAx val="571950817"/>
      </c:catAx>
      <c:valAx>
        <c:axId val="571950817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>
                    <a:solidFill>
                      <a:srgbClr val="000000"/>
                    </a:solidFill>
                    <a:latin typeface="Arial Narrow"/>
                  </a:rPr>
                  <a:t/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/>
        </c:spPr>
        <c:txPr>
          <a:bodyPr rot="0"/>
          <a:lstStyle/>
          <a:p>
            <a:pPr lvl="0">
              <a:defRPr b="0" sz="600">
                <a:solidFill>
                  <a:srgbClr val="FFFFFF"/>
                </a:solidFill>
                <a:latin typeface="Arial Narrow"/>
              </a:defRPr>
            </a:pPr>
          </a:p>
        </c:txPr>
        <c:crossAx val="2072709701"/>
        <c:crosses val="max"/>
      </c:valAx>
    </c:plotArea>
    <c:legend>
      <c:legendPos val="t"/>
      <c:layout>
        <c:manualLayout>
          <c:xMode val="edge"/>
          <c:yMode val="edge"/>
          <c:x val="0.08550099408645996"/>
          <c:y val="0.21042363433667782"/>
        </c:manualLayout>
      </c:layout>
      <c:overlay val="0"/>
      <c:txPr>
        <a:bodyPr/>
        <a:lstStyle/>
        <a:p>
          <a:pPr lvl="0">
            <a:defRPr b="0" sz="1000">
              <a:solidFill>
                <a:srgbClr val="1A1A1A"/>
              </a:solidFill>
              <a:latin typeface="Arial Narrow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000000"/>
                </a:solidFill>
                <a:latin typeface="Arial Narrow"/>
              </a:defRPr>
            </a:pPr>
            <a:r>
              <a:rPr b="1" sz="1400">
                <a:solidFill>
                  <a:srgbClr val="000000"/>
                </a:solidFill>
                <a:latin typeface="Arial Narrow"/>
              </a:rPr>
              <a:t>FIIs Ativos por Segmento (2017 - 2025)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strRef>
              <c:f>'Distribuição por Setor'!$C$16</c:f>
            </c:strRef>
          </c:tx>
          <c:spPr>
            <a:solidFill>
              <a:srgbClr val="00FFF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200">
                    <a:latin typeface="Arial Narrow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'Distribuição por Setor'!$B$17:$B$24</c:f>
            </c:strRef>
          </c:cat>
          <c:val>
            <c:numRef>
              <c:f>'Distribuição por Setor'!$C$17:$C$24</c:f>
              <c:numCache/>
            </c:numRef>
          </c:val>
        </c:ser>
        <c:ser>
          <c:idx val="1"/>
          <c:order val="1"/>
          <c:tx>
            <c:strRef>
              <c:f>'Distribuição por Setor'!$D$16</c:f>
            </c:strRef>
          </c:tx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Lbls>
            <c:dLbl>
              <c:idx val="0"/>
              <c:layout>
                <c:manualLayout>
                  <c:xMode val="edge"/>
                  <c:yMode val="edge"/>
                  <c:x val="0.051402499566443875"/>
                  <c:y val="0.9238141202426917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 sz="1200">
                      <a:latin typeface="Arial Narrow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>
                <c:manualLayout>
                  <c:xMode val="edge"/>
                  <c:yMode val="edge"/>
                  <c:x val="0.17119062681196434"/>
                  <c:y val="0.9257632740778808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 sz="1200">
                      <a:latin typeface="Arial Narrow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>
                <c:manualLayout>
                  <c:xMode val="edge"/>
                  <c:yMode val="edge"/>
                  <c:x val="0.2885829915125744"/>
                  <c:y val="0.9297662401689248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 sz="1200">
                      <a:latin typeface="Arial Narrow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layout>
                <c:manualLayout>
                  <c:xMode val="edge"/>
                  <c:yMode val="edge"/>
                  <c:x val="0.41076688130300526"/>
                  <c:y val="0.9394861894861892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 sz="1200">
                      <a:latin typeface="Arial Narrow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layout>
                <c:manualLayout>
                  <c:xMode val="edge"/>
                  <c:yMode val="edge"/>
                  <c:x val="0.5305550085485257"/>
                  <c:y val="0.9366943094654832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 sz="1200">
                      <a:latin typeface="Arial Narrow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layout>
                <c:manualLayout>
                  <c:xMode val="edge"/>
                  <c:yMode val="edge"/>
                  <c:x val="0.6503431357940462"/>
                  <c:y val="0.9257549376299377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 sz="1200">
                      <a:latin typeface="Arial Narrow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layout>
                <c:manualLayout>
                  <c:xMode val="edge"/>
                  <c:yMode val="edge"/>
                  <c:x val="0.7701312630395667"/>
                  <c:y val="0.9262416512958813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 sz="1200">
                      <a:latin typeface="Arial Narrow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layout>
                <c:manualLayout>
                  <c:xMode val="edge"/>
                  <c:yMode val="edge"/>
                  <c:x val="0.8899193902850872"/>
                  <c:y val="0.92683181556421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 sz="1200">
                      <a:latin typeface="Arial Narrow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sz="1200">
                    <a:latin typeface="Arial Narrow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'Distribuição por Setor'!$B$17:$B$24</c:f>
            </c:strRef>
          </c:cat>
          <c:val>
            <c:numRef>
              <c:f>'Distribuição por Setor'!$D$17:$D$24</c:f>
              <c:numCache/>
            </c:numRef>
          </c:val>
        </c:ser>
        <c:ser>
          <c:idx val="2"/>
          <c:order val="2"/>
          <c:tx>
            <c:strRef>
              <c:f>'Distribuição por Setor'!$E$16</c:f>
            </c:strRef>
          </c:tx>
          <c:spPr>
            <a:solidFill>
              <a:srgbClr val="333399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200">
                    <a:latin typeface="Arial Narrow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'Distribuição por Setor'!$B$17:$B$24</c:f>
            </c:strRef>
          </c:cat>
          <c:val>
            <c:numRef>
              <c:f>'Distribuição por Setor'!$E$17:$E$24</c:f>
              <c:numCache/>
            </c:numRef>
          </c:val>
        </c:ser>
        <c:ser>
          <c:idx val="3"/>
          <c:order val="3"/>
          <c:tx>
            <c:strRef>
              <c:f>'Distribuição por Setor'!$F$16</c:f>
            </c:strRef>
          </c:tx>
          <c:spPr>
            <a:solidFill>
              <a:srgbClr val="0095D9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200">
                    <a:latin typeface="Arial Narrow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'Distribuição por Setor'!$B$17:$B$24</c:f>
            </c:strRef>
          </c:cat>
          <c:val>
            <c:numRef>
              <c:f>'Distribuição por Setor'!$F$17:$F$24</c:f>
              <c:numCache/>
            </c:numRef>
          </c:val>
        </c:ser>
        <c:ser>
          <c:idx val="4"/>
          <c:order val="4"/>
          <c:tx>
            <c:strRef>
              <c:f>'Distribuição por Setor'!$G$16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200">
                    <a:latin typeface="Arial Narrow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'Distribuição por Setor'!$B$17:$B$24</c:f>
            </c:strRef>
          </c:cat>
          <c:val>
            <c:numRef>
              <c:f>'Distribuição por Setor'!$G$17:$G$24</c:f>
              <c:numCache/>
            </c:numRef>
          </c:val>
        </c:ser>
        <c:ser>
          <c:idx val="5"/>
          <c:order val="5"/>
          <c:tx>
            <c:strRef>
              <c:f>'Distribuição por Setor'!$I$16</c:f>
            </c:strRef>
          </c:tx>
          <c:spPr>
            <a:solidFill>
              <a:srgbClr val="98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200">
                    <a:latin typeface="Arial Narrow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'Distribuição por Setor'!$B$17:$B$24</c:f>
            </c:strRef>
          </c:cat>
          <c:val>
            <c:numRef>
              <c:f>'Distribuição por Setor'!$I$17:$I$24</c:f>
              <c:numCache/>
            </c:numRef>
          </c:val>
        </c:ser>
        <c:ser>
          <c:idx val="6"/>
          <c:order val="6"/>
          <c:tx>
            <c:strRef>
              <c:f>'Distribuição por Setor'!$J$16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200">
                    <a:latin typeface="Arial Narrow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'Distribuição por Setor'!$B$17:$B$24</c:f>
            </c:strRef>
          </c:cat>
          <c:val>
            <c:numRef>
              <c:f>'Distribuição por Setor'!$J$17:$J$24</c:f>
              <c:numCache/>
            </c:numRef>
          </c:val>
        </c:ser>
        <c:ser>
          <c:idx val="7"/>
          <c:order val="7"/>
          <c:tx>
            <c:strRef>
              <c:f>'Distribuição por Setor'!$K$16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200">
                    <a:latin typeface="Arial Narrow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'Distribuição por Setor'!$B$17:$B$24</c:f>
            </c:strRef>
          </c:cat>
          <c:val>
            <c:numRef>
              <c:f>'Distribuição por Setor'!$K$17:$K$24</c:f>
              <c:numCache/>
            </c:numRef>
          </c:val>
        </c:ser>
        <c:ser>
          <c:idx val="8"/>
          <c:order val="8"/>
          <c:tx>
            <c:strRef>
              <c:f>'Distribuição por Setor'!$H$16</c:f>
            </c:strRef>
          </c:tx>
          <c:spPr>
            <a:solidFill>
              <a:srgbClr val="CCCCC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200">
                    <a:latin typeface="Arial Narrow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'Distribuição por Setor'!$B$17:$B$24</c:f>
            </c:strRef>
          </c:cat>
          <c:val>
            <c:numRef>
              <c:f>'Distribuição por Setor'!$H$17:$H$24</c:f>
              <c:numCache/>
            </c:numRef>
          </c:val>
        </c:ser>
        <c:overlap val="100"/>
        <c:axId val="332347387"/>
        <c:axId val="540797542"/>
      </c:barChart>
      <c:catAx>
        <c:axId val="3323473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>
                    <a:solidFill>
                      <a:srgbClr val="000000"/>
                    </a:solidFill>
                    <a:latin typeface="Arial Narrow"/>
                  </a:rPr>
                  <a:t>Ano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Narrow"/>
              </a:defRPr>
            </a:pPr>
          </a:p>
        </c:txPr>
        <c:crossAx val="540797542"/>
      </c:catAx>
      <c:valAx>
        <c:axId val="540797542"/>
        <c:scaling>
          <c:orientation val="minMax"/>
        </c:scaling>
        <c:delete val="0"/>
        <c:axPos val="l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>
                    <a:solidFill>
                      <a:srgbClr val="000000"/>
                    </a:solidFill>
                    <a:latin typeface="Arial Narrow"/>
                  </a:rPr>
                  <a:t/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600">
                <a:solidFill>
                  <a:srgbClr val="FFFFFF"/>
                </a:solidFill>
                <a:latin typeface="Arial Narrow"/>
              </a:defRPr>
            </a:pPr>
          </a:p>
        </c:txPr>
        <c:crossAx val="332347387"/>
      </c:valAx>
    </c:plotArea>
    <c:legend>
      <c:legendPos val="l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 Narrow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000000"/>
                </a:solidFill>
                <a:latin typeface="Arial Narrow"/>
              </a:defRPr>
            </a:pPr>
            <a:r>
              <a:rPr b="1" sz="1400">
                <a:solidFill>
                  <a:srgbClr val="000000"/>
                </a:solidFill>
                <a:latin typeface="Arial Narrow"/>
              </a:rPr>
              <a:t>Índices Acumulados (2011= 100)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Retorno!$B$22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Retorno!$C$21:$O$21</c:f>
            </c:strRef>
          </c:cat>
          <c:val>
            <c:numRef>
              <c:f>Retorno!$C$22:$O$22</c:f>
              <c:numCache/>
            </c:numRef>
          </c:val>
          <c:smooth val="0"/>
        </c:ser>
        <c:ser>
          <c:idx val="1"/>
          <c:order val="1"/>
          <c:tx>
            <c:strRef>
              <c:f>Retorno!$B$23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Retorno!$C$21:$O$21</c:f>
            </c:strRef>
          </c:cat>
          <c:val>
            <c:numRef>
              <c:f>Retorno!$C$23:$O$23</c:f>
              <c:numCache/>
            </c:numRef>
          </c:val>
          <c:smooth val="0"/>
        </c:ser>
        <c:ser>
          <c:idx val="2"/>
          <c:order val="2"/>
          <c:tx>
            <c:strRef>
              <c:f>Retorno!$B$27</c:f>
            </c:strRef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Retorno!$C$21:$O$21</c:f>
            </c:strRef>
          </c:cat>
          <c:val>
            <c:numRef>
              <c:f>Retorno!$C$27:$O$27</c:f>
              <c:numCache/>
            </c:numRef>
          </c:val>
          <c:smooth val="0"/>
        </c:ser>
        <c:ser>
          <c:idx val="3"/>
          <c:order val="3"/>
          <c:tx>
            <c:strRef>
              <c:f>Retorno!$B$28</c:f>
            </c:strRef>
          </c:tx>
          <c:spPr>
            <a:ln cmpd="sng">
              <a:solidFill>
                <a:srgbClr val="8064A2"/>
              </a:solidFill>
            </a:ln>
          </c:spPr>
          <c:marker>
            <c:symbol val="none"/>
          </c:marker>
          <c:cat>
            <c:strRef>
              <c:f>Retorno!$C$21:$O$21</c:f>
            </c:strRef>
          </c:cat>
          <c:val>
            <c:numRef>
              <c:f>Retorno!$C$28:$O$28</c:f>
              <c:numCache/>
            </c:numRef>
          </c:val>
          <c:smooth val="0"/>
        </c:ser>
        <c:axId val="292836950"/>
        <c:axId val="481083285"/>
      </c:lineChart>
      <c:catAx>
        <c:axId val="2928369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>
                    <a:solidFill>
                      <a:srgbClr val="000000"/>
                    </a:solidFill>
                    <a:latin typeface="Arial Narrow"/>
                  </a:rPr>
                  <a:t>Ano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Narrow"/>
              </a:defRPr>
            </a:pPr>
          </a:p>
        </c:txPr>
        <c:crossAx val="481083285"/>
      </c:catAx>
      <c:valAx>
        <c:axId val="4810832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>
                    <a:solidFill>
                      <a:srgbClr val="000000"/>
                    </a:solidFill>
                    <a:latin typeface="Arial Narrow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Narrow"/>
              </a:defRPr>
            </a:pPr>
          </a:p>
        </c:txPr>
        <c:crossAx val="2928369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 Narrow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190500</xdr:colOff>
      <xdr:row>1</xdr:row>
      <xdr:rowOff>142875</xdr:rowOff>
    </xdr:from>
    <xdr:ext cx="66294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447675</xdr:colOff>
      <xdr:row>1</xdr:row>
      <xdr:rowOff>85725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866775</xdr:colOff>
      <xdr:row>10</xdr:row>
      <xdr:rowOff>152400</xdr:rowOff>
    </xdr:from>
    <xdr:ext cx="5838825" cy="268605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142875</xdr:colOff>
      <xdr:row>25</xdr:row>
      <xdr:rowOff>190500</xdr:rowOff>
    </xdr:from>
    <xdr:ext cx="5715000" cy="35337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542925</xdr:colOff>
      <xdr:row>30</xdr:row>
      <xdr:rowOff>57150</xdr:rowOff>
    </xdr:from>
    <xdr:ext cx="5715000" cy="353377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ata.anbima.com.br/publicacoes/boletim-de-fundos-de-investimento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ata.anbima.com.br/publicacoes/boletim-de-fundos-de-investimento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fomoney.com.br/onde-investir/fiis-ganham-mais-de-400-mil-investidores-em-2023-patrimonio-liquido-tambem-cresce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ados.cvm.gov.br/dataset/fii-doc-inf_mensal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maisretorno.com/indice/ifix" TargetMode="External"/><Relationship Id="rId2" Type="http://schemas.openxmlformats.org/officeDocument/2006/relationships/hyperlink" Target="https://maisretorno.com/indice/cdi" TargetMode="External"/><Relationship Id="rId3" Type="http://schemas.openxmlformats.org/officeDocument/2006/relationships/hyperlink" Target="https://maisretorno.com/indice/ibov" TargetMode="External"/><Relationship Id="rId4" Type="http://schemas.openxmlformats.org/officeDocument/2006/relationships/hyperlink" Target="https://maisretorno.com/indice/ipca" TargetMode="External"/><Relationship Id="rId5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outlinePr summaryBelow="0" summaryRight="0"/>
  </sheetPr>
  <sheetViews>
    <sheetView showGridLines="0" workbookViewId="0"/>
  </sheetViews>
  <sheetFormatPr customHeight="1" defaultColWidth="12.63" defaultRowHeight="15.75"/>
  <sheetData>
    <row r="2">
      <c r="B2" s="1"/>
    </row>
    <row r="3">
      <c r="B3" s="2">
        <v>2006.0</v>
      </c>
      <c r="C3" s="3">
        <v>89.0</v>
      </c>
    </row>
    <row r="4">
      <c r="B4" s="2">
        <v>2007.0</v>
      </c>
      <c r="C4" s="3">
        <v>85.0</v>
      </c>
    </row>
    <row r="5">
      <c r="B5" s="2">
        <v>2008.0</v>
      </c>
      <c r="C5" s="3">
        <v>262.0</v>
      </c>
    </row>
    <row r="6">
      <c r="B6" s="2">
        <v>2009.0</v>
      </c>
      <c r="C6" s="3">
        <v>3758.0</v>
      </c>
    </row>
    <row r="7">
      <c r="B7" s="2">
        <v>2010.0</v>
      </c>
      <c r="C7" s="3">
        <v>4888.0</v>
      </c>
    </row>
    <row r="8">
      <c r="B8" s="2">
        <v>2011.0</v>
      </c>
      <c r="C8" s="3">
        <v>14989.0</v>
      </c>
    </row>
    <row r="9">
      <c r="B9" s="2">
        <v>2012.0</v>
      </c>
      <c r="C9" s="3">
        <v>124930.0</v>
      </c>
    </row>
    <row r="10">
      <c r="B10" s="2">
        <v>2013.0</v>
      </c>
      <c r="C10" s="3">
        <v>144392.0</v>
      </c>
    </row>
    <row r="11">
      <c r="B11" s="2">
        <v>2014.0</v>
      </c>
      <c r="C11" s="3">
        <v>163399.0</v>
      </c>
    </row>
    <row r="12">
      <c r="B12" s="2">
        <v>2015.0</v>
      </c>
      <c r="C12" s="3">
        <v>203900.0</v>
      </c>
    </row>
    <row r="13">
      <c r="B13" s="2">
        <v>2016.0</v>
      </c>
      <c r="C13" s="3">
        <v>236576.0</v>
      </c>
    </row>
    <row r="14">
      <c r="B14" s="2">
        <v>2017.0</v>
      </c>
      <c r="C14" s="3">
        <v>299688.0</v>
      </c>
    </row>
    <row r="15">
      <c r="B15" s="2">
        <v>2018.0</v>
      </c>
      <c r="C15" s="3">
        <v>499012.0</v>
      </c>
    </row>
    <row r="16">
      <c r="B16" s="2">
        <v>2019.0</v>
      </c>
      <c r="C16" s="3">
        <v>1951472.0</v>
      </c>
    </row>
    <row r="17">
      <c r="B17" s="2">
        <v>2020.0</v>
      </c>
      <c r="C17" s="3">
        <v>4332698.0</v>
      </c>
    </row>
    <row r="18">
      <c r="B18" s="2">
        <v>2021.0</v>
      </c>
      <c r="C18" s="3">
        <v>6664140.0</v>
      </c>
    </row>
    <row r="19">
      <c r="B19" s="2">
        <v>2022.0</v>
      </c>
      <c r="C19" s="3">
        <v>8980459.0</v>
      </c>
    </row>
    <row r="20">
      <c r="B20" s="2">
        <v>2023.0</v>
      </c>
      <c r="C20" s="3">
        <v>1.1240576E7</v>
      </c>
    </row>
    <row r="21">
      <c r="B21" s="2">
        <v>2024.0</v>
      </c>
      <c r="C21" s="3">
        <v>1.3467302E7</v>
      </c>
    </row>
    <row r="26">
      <c r="B26" s="4" t="s">
        <v>0</v>
      </c>
    </row>
    <row r="27">
      <c r="B27" s="4" t="s">
        <v>1</v>
      </c>
    </row>
    <row r="28">
      <c r="B28" s="4" t="s">
        <v>2</v>
      </c>
    </row>
    <row r="29">
      <c r="B29" s="5" t="s">
        <v>3</v>
      </c>
    </row>
  </sheetData>
  <hyperlinks>
    <hyperlink r:id="rId1" ref="B29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outlinePr summaryBelow="0" summaryRight="0"/>
  </sheetPr>
  <sheetViews>
    <sheetView showGridLines="0" workbookViewId="0"/>
  </sheetViews>
  <sheetFormatPr customHeight="1" defaultColWidth="12.63" defaultRowHeight="15.75"/>
  <sheetData>
    <row r="2">
      <c r="C2" s="6"/>
    </row>
    <row r="3">
      <c r="B3" s="2">
        <v>2006.0</v>
      </c>
      <c r="C3" s="7">
        <v>173.11813441</v>
      </c>
    </row>
    <row r="4">
      <c r="B4" s="2">
        <v>2007.0</v>
      </c>
      <c r="C4" s="7">
        <v>292.74583458</v>
      </c>
    </row>
    <row r="5">
      <c r="B5" s="2">
        <v>2008.0</v>
      </c>
      <c r="C5" s="7">
        <v>319.23100381</v>
      </c>
    </row>
    <row r="6">
      <c r="B6" s="2">
        <v>2009.0</v>
      </c>
      <c r="C6" s="7">
        <v>758.3031438400001</v>
      </c>
    </row>
    <row r="7">
      <c r="B7" s="2">
        <v>2010.0</v>
      </c>
      <c r="C7" s="7">
        <v>2950.9128954899998</v>
      </c>
    </row>
    <row r="8">
      <c r="B8" s="2">
        <v>2011.0</v>
      </c>
      <c r="C8" s="7">
        <v>9334.34680189</v>
      </c>
    </row>
    <row r="9">
      <c r="B9" s="2">
        <v>2012.0</v>
      </c>
      <c r="C9" s="7">
        <v>26650.063501459997</v>
      </c>
    </row>
    <row r="10">
      <c r="B10" s="2">
        <v>2013.0</v>
      </c>
      <c r="C10" s="7">
        <v>35062.28190991</v>
      </c>
    </row>
    <row r="11">
      <c r="B11" s="2">
        <v>2014.0</v>
      </c>
      <c r="C11" s="7">
        <v>49037.682334239995</v>
      </c>
    </row>
    <row r="12">
      <c r="B12" s="2">
        <v>2015.0</v>
      </c>
      <c r="C12" s="7">
        <v>59682.593904119996</v>
      </c>
    </row>
    <row r="13">
      <c r="B13" s="2">
        <v>2016.0</v>
      </c>
      <c r="C13" s="7">
        <v>61628.43862091</v>
      </c>
    </row>
    <row r="14">
      <c r="B14" s="2">
        <v>2017.0</v>
      </c>
      <c r="C14" s="7">
        <v>62632.18717479</v>
      </c>
    </row>
    <row r="15">
      <c r="B15" s="2">
        <v>2018.0</v>
      </c>
      <c r="C15" s="7">
        <v>82346.72729190001</v>
      </c>
    </row>
    <row r="16">
      <c r="B16" s="2">
        <v>2019.0</v>
      </c>
      <c r="C16" s="6">
        <v>127328.82074923</v>
      </c>
    </row>
    <row r="17">
      <c r="B17" s="2">
        <v>2020.0</v>
      </c>
      <c r="C17" s="6">
        <v>173265.6823505</v>
      </c>
    </row>
    <row r="18">
      <c r="B18" s="2">
        <v>2021.0</v>
      </c>
      <c r="C18" s="6">
        <v>214124.04693353</v>
      </c>
    </row>
    <row r="19">
      <c r="B19" s="2">
        <v>2022.0</v>
      </c>
      <c r="C19" s="6">
        <v>248129.35801501997</v>
      </c>
    </row>
    <row r="20">
      <c r="B20" s="2">
        <v>2023.0</v>
      </c>
      <c r="C20" s="6">
        <v>304987.44190556003</v>
      </c>
    </row>
    <row r="21">
      <c r="B21" s="2">
        <v>2024.0</v>
      </c>
      <c r="C21" s="6">
        <v>334954.66328258085</v>
      </c>
    </row>
    <row r="22">
      <c r="C22" s="6"/>
    </row>
    <row r="26">
      <c r="B26" s="4" t="s">
        <v>0</v>
      </c>
    </row>
    <row r="27">
      <c r="B27" s="4" t="s">
        <v>1</v>
      </c>
    </row>
    <row r="28">
      <c r="B28" s="4" t="s">
        <v>2</v>
      </c>
    </row>
    <row r="29">
      <c r="B29" s="5" t="s">
        <v>3</v>
      </c>
    </row>
  </sheetData>
  <hyperlinks>
    <hyperlink r:id="rId1" ref="B29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66"/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25.75"/>
  </cols>
  <sheetData>
    <row r="3">
      <c r="B3" s="1"/>
      <c r="C3" s="8"/>
      <c r="D3" s="8"/>
      <c r="E3" s="8"/>
      <c r="F3" s="9"/>
    </row>
    <row r="4">
      <c r="B4" s="2"/>
      <c r="C4" s="10"/>
      <c r="D4" s="11"/>
      <c r="E4" s="10"/>
    </row>
    <row r="5">
      <c r="B5" s="2"/>
      <c r="C5" s="12" t="s">
        <v>4</v>
      </c>
      <c r="D5" s="13">
        <v>0.755</v>
      </c>
      <c r="E5" s="10"/>
    </row>
    <row r="6">
      <c r="B6" s="2"/>
      <c r="C6" s="12" t="s">
        <v>5</v>
      </c>
      <c r="D6" s="13">
        <v>0.18</v>
      </c>
      <c r="E6" s="10"/>
    </row>
    <row r="7">
      <c r="B7" s="2"/>
      <c r="C7" s="12" t="s">
        <v>6</v>
      </c>
      <c r="D7" s="13">
        <v>0.05</v>
      </c>
      <c r="E7" s="10"/>
    </row>
    <row r="8">
      <c r="B8" s="2"/>
      <c r="C8" s="12" t="s">
        <v>7</v>
      </c>
      <c r="D8" s="14">
        <f>1-D7-D5-D6</f>
        <v>0.015</v>
      </c>
      <c r="E8" s="10"/>
    </row>
    <row r="9">
      <c r="B9" s="2"/>
      <c r="C9" s="10"/>
      <c r="D9" s="10"/>
      <c r="E9" s="10"/>
    </row>
    <row r="12">
      <c r="C12" s="8"/>
      <c r="D12" s="8"/>
      <c r="E12" s="8"/>
    </row>
    <row r="13">
      <c r="B13" s="2"/>
      <c r="C13" s="14"/>
      <c r="D13" s="14"/>
      <c r="E13" s="14"/>
    </row>
    <row r="14">
      <c r="B14" s="2"/>
      <c r="C14" s="14"/>
      <c r="D14" s="14"/>
      <c r="E14" s="14"/>
    </row>
    <row r="15">
      <c r="B15" s="2"/>
      <c r="C15" s="14"/>
      <c r="D15" s="14"/>
      <c r="E15" s="14"/>
    </row>
    <row r="16">
      <c r="B16" s="2"/>
      <c r="C16" s="14"/>
      <c r="D16" s="14"/>
      <c r="E16" s="14"/>
    </row>
    <row r="17">
      <c r="B17" s="2"/>
      <c r="C17" s="14"/>
      <c r="D17" s="14"/>
      <c r="E17" s="14"/>
    </row>
    <row r="18">
      <c r="B18" s="2"/>
      <c r="C18" s="14"/>
      <c r="D18" s="14"/>
      <c r="E18" s="14"/>
    </row>
    <row r="28">
      <c r="C28" s="4" t="s">
        <v>8</v>
      </c>
    </row>
    <row r="29">
      <c r="C29" s="5" t="s">
        <v>9</v>
      </c>
    </row>
  </sheetData>
  <hyperlinks>
    <hyperlink r:id="rId1" ref="C29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66"/>
    <outlinePr summaryBelow="0" summaryRight="0"/>
  </sheetPr>
  <sheetViews>
    <sheetView showGridLines="0" workbookViewId="0"/>
  </sheetViews>
  <sheetFormatPr customHeight="1" defaultColWidth="12.63" defaultRowHeight="15.75"/>
  <sheetData>
    <row r="4"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  <c r="H4" s="4" t="s">
        <v>7</v>
      </c>
      <c r="I4" s="4" t="s">
        <v>16</v>
      </c>
      <c r="J4" s="4" t="s">
        <v>17</v>
      </c>
      <c r="K4" s="4" t="s">
        <v>18</v>
      </c>
      <c r="L4" s="2" t="s">
        <v>19</v>
      </c>
      <c r="M4" s="2" t="s">
        <v>20</v>
      </c>
    </row>
    <row r="5">
      <c r="B5" s="15">
        <v>43100.0</v>
      </c>
      <c r="C5" s="16">
        <v>5.0</v>
      </c>
      <c r="D5" s="16">
        <v>5.0</v>
      </c>
      <c r="E5" s="16">
        <v>70.0</v>
      </c>
      <c r="F5" s="16">
        <v>52.0</v>
      </c>
      <c r="G5" s="16">
        <v>13.0</v>
      </c>
      <c r="H5" s="16">
        <v>67.0</v>
      </c>
      <c r="I5" s="16">
        <v>8.0</v>
      </c>
      <c r="J5" s="16">
        <v>32.0</v>
      </c>
      <c r="K5" s="16">
        <v>42.0</v>
      </c>
      <c r="L5" s="17">
        <f t="shared" ref="L5:L12" si="1">MONTH(B5)</f>
        <v>12</v>
      </c>
      <c r="M5" s="17">
        <f t="shared" ref="M5:M12" si="2">YEAR(B5)</f>
        <v>2017</v>
      </c>
    </row>
    <row r="6">
      <c r="B6" s="15">
        <v>43465.0</v>
      </c>
      <c r="C6" s="16">
        <v>5.0</v>
      </c>
      <c r="D6" s="16">
        <v>4.0</v>
      </c>
      <c r="E6" s="16">
        <v>103.0</v>
      </c>
      <c r="F6" s="16">
        <v>56.0</v>
      </c>
      <c r="G6" s="16">
        <v>17.0</v>
      </c>
      <c r="H6" s="16">
        <v>72.0</v>
      </c>
      <c r="I6" s="16">
        <v>11.0</v>
      </c>
      <c r="J6" s="16">
        <v>31.0</v>
      </c>
      <c r="K6" s="16">
        <v>57.0</v>
      </c>
      <c r="L6" s="17">
        <f t="shared" si="1"/>
        <v>12</v>
      </c>
      <c r="M6" s="17">
        <f t="shared" si="2"/>
        <v>2018</v>
      </c>
    </row>
    <row r="7">
      <c r="B7" s="15">
        <v>43830.0</v>
      </c>
      <c r="C7" s="16">
        <v>5.0</v>
      </c>
      <c r="D7" s="16">
        <v>4.0</v>
      </c>
      <c r="E7" s="16">
        <v>146.0</v>
      </c>
      <c r="F7" s="16">
        <v>66.0</v>
      </c>
      <c r="G7" s="16">
        <v>26.0</v>
      </c>
      <c r="H7" s="16">
        <v>68.0</v>
      </c>
      <c r="I7" s="16">
        <v>15.0</v>
      </c>
      <c r="J7" s="16">
        <v>39.0</v>
      </c>
      <c r="K7" s="16">
        <v>78.0</v>
      </c>
      <c r="L7" s="17">
        <f t="shared" si="1"/>
        <v>12</v>
      </c>
      <c r="M7" s="17">
        <f t="shared" si="2"/>
        <v>2019</v>
      </c>
    </row>
    <row r="8">
      <c r="B8" s="18">
        <v>44196.0</v>
      </c>
      <c r="C8" s="4">
        <v>6.0</v>
      </c>
      <c r="D8" s="4">
        <v>3.0</v>
      </c>
      <c r="E8" s="4">
        <v>193.0</v>
      </c>
      <c r="F8" s="4">
        <v>70.0</v>
      </c>
      <c r="G8" s="4">
        <v>33.0</v>
      </c>
      <c r="H8" s="4">
        <v>72.0</v>
      </c>
      <c r="I8" s="4">
        <v>21.0</v>
      </c>
      <c r="J8" s="4">
        <v>43.0</v>
      </c>
      <c r="K8" s="4">
        <v>105.0</v>
      </c>
      <c r="L8" s="1">
        <f t="shared" si="1"/>
        <v>12</v>
      </c>
      <c r="M8" s="1">
        <f t="shared" si="2"/>
        <v>2020</v>
      </c>
    </row>
    <row r="9">
      <c r="B9" s="18">
        <v>44561.0</v>
      </c>
      <c r="C9" s="4">
        <v>7.0</v>
      </c>
      <c r="D9" s="4">
        <v>3.0</v>
      </c>
      <c r="E9" s="4">
        <v>254.0</v>
      </c>
      <c r="F9" s="4">
        <v>71.0</v>
      </c>
      <c r="G9" s="4">
        <v>39.0</v>
      </c>
      <c r="H9" s="4">
        <v>102.0</v>
      </c>
      <c r="I9" s="4">
        <v>29.0</v>
      </c>
      <c r="J9" s="4">
        <v>34.0</v>
      </c>
      <c r="K9" s="4">
        <v>134.0</v>
      </c>
      <c r="L9" s="1">
        <f t="shared" si="1"/>
        <v>12</v>
      </c>
      <c r="M9" s="1">
        <f t="shared" si="2"/>
        <v>2021</v>
      </c>
    </row>
    <row r="10">
      <c r="B10" s="18">
        <v>44926.0</v>
      </c>
      <c r="C10" s="4">
        <v>8.0</v>
      </c>
      <c r="D10" s="4">
        <v>3.0</v>
      </c>
      <c r="E10" s="4">
        <v>324.0</v>
      </c>
      <c r="F10" s="4">
        <v>71.0</v>
      </c>
      <c r="G10" s="4">
        <v>44.0</v>
      </c>
      <c r="H10" s="4">
        <v>120.0</v>
      </c>
      <c r="I10" s="4">
        <v>28.0</v>
      </c>
      <c r="J10" s="4">
        <v>32.0</v>
      </c>
      <c r="K10" s="4">
        <v>170.0</v>
      </c>
      <c r="L10" s="1">
        <f t="shared" si="1"/>
        <v>12</v>
      </c>
      <c r="M10" s="1">
        <f t="shared" si="2"/>
        <v>2022</v>
      </c>
    </row>
    <row r="11">
      <c r="B11" s="18">
        <v>45291.0</v>
      </c>
      <c r="C11" s="4">
        <v>9.0</v>
      </c>
      <c r="D11" s="4">
        <v>3.0</v>
      </c>
      <c r="E11" s="4">
        <v>372.0</v>
      </c>
      <c r="F11" s="4">
        <v>69.0</v>
      </c>
      <c r="G11" s="4">
        <v>47.0</v>
      </c>
      <c r="H11" s="4">
        <v>140.0</v>
      </c>
      <c r="I11" s="4">
        <v>33.0</v>
      </c>
      <c r="J11" s="4">
        <v>35.0</v>
      </c>
      <c r="K11" s="4">
        <v>214.0</v>
      </c>
      <c r="L11" s="1">
        <f t="shared" si="1"/>
        <v>12</v>
      </c>
      <c r="M11" s="1">
        <f t="shared" si="2"/>
        <v>2023</v>
      </c>
    </row>
    <row r="12">
      <c r="B12" s="18">
        <v>45657.0</v>
      </c>
      <c r="C12" s="4">
        <v>10.0</v>
      </c>
      <c r="D12" s="4">
        <v>3.0</v>
      </c>
      <c r="E12" s="4">
        <v>409.0</v>
      </c>
      <c r="F12" s="4">
        <v>71.0</v>
      </c>
      <c r="G12" s="4">
        <v>58.0</v>
      </c>
      <c r="H12" s="4">
        <v>199.0</v>
      </c>
      <c r="I12" s="4">
        <v>44.0</v>
      </c>
      <c r="J12" s="4">
        <v>41.0</v>
      </c>
      <c r="K12" s="4">
        <v>230.0</v>
      </c>
      <c r="L12" s="1">
        <f t="shared" si="1"/>
        <v>12</v>
      </c>
      <c r="M12" s="1">
        <f t="shared" si="2"/>
        <v>2024</v>
      </c>
    </row>
    <row r="16">
      <c r="B16" s="2" t="s">
        <v>20</v>
      </c>
      <c r="C16" s="4" t="s">
        <v>11</v>
      </c>
      <c r="D16" s="4" t="s">
        <v>12</v>
      </c>
      <c r="E16" s="4" t="s">
        <v>13</v>
      </c>
      <c r="F16" s="4" t="s">
        <v>14</v>
      </c>
      <c r="G16" s="4" t="s">
        <v>15</v>
      </c>
      <c r="H16" s="4" t="s">
        <v>7</v>
      </c>
      <c r="I16" s="4" t="s">
        <v>16</v>
      </c>
      <c r="J16" s="4" t="s">
        <v>17</v>
      </c>
      <c r="K16" s="4" t="s">
        <v>18</v>
      </c>
    </row>
    <row r="17">
      <c r="B17" s="1">
        <v>2017.0</v>
      </c>
      <c r="C17" s="19">
        <f t="shared" ref="C17:K17" si="3">C5/SUM($C5:$K5)</f>
        <v>0.01700680272</v>
      </c>
      <c r="D17" s="19">
        <f t="shared" si="3"/>
        <v>0.01700680272</v>
      </c>
      <c r="E17" s="19">
        <f t="shared" si="3"/>
        <v>0.2380952381</v>
      </c>
      <c r="F17" s="19">
        <f t="shared" si="3"/>
        <v>0.1768707483</v>
      </c>
      <c r="G17" s="19">
        <f t="shared" si="3"/>
        <v>0.04421768707</v>
      </c>
      <c r="H17" s="19">
        <f t="shared" si="3"/>
        <v>0.2278911565</v>
      </c>
      <c r="I17" s="19">
        <f t="shared" si="3"/>
        <v>0.02721088435</v>
      </c>
      <c r="J17" s="19">
        <f t="shared" si="3"/>
        <v>0.1088435374</v>
      </c>
      <c r="K17" s="19">
        <f t="shared" si="3"/>
        <v>0.1428571429</v>
      </c>
      <c r="L17" s="20"/>
    </row>
    <row r="18">
      <c r="B18" s="1">
        <v>2018.0</v>
      </c>
      <c r="C18" s="19">
        <f t="shared" ref="C18:K18" si="4">C6/SUM($C6:$K6)</f>
        <v>0.01404494382</v>
      </c>
      <c r="D18" s="19">
        <f t="shared" si="4"/>
        <v>0.01123595506</v>
      </c>
      <c r="E18" s="19">
        <f t="shared" si="4"/>
        <v>0.2893258427</v>
      </c>
      <c r="F18" s="19">
        <f t="shared" si="4"/>
        <v>0.1573033708</v>
      </c>
      <c r="G18" s="19">
        <f t="shared" si="4"/>
        <v>0.04775280899</v>
      </c>
      <c r="H18" s="19">
        <f t="shared" si="4"/>
        <v>0.202247191</v>
      </c>
      <c r="I18" s="19">
        <f t="shared" si="4"/>
        <v>0.0308988764</v>
      </c>
      <c r="J18" s="19">
        <f t="shared" si="4"/>
        <v>0.08707865169</v>
      </c>
      <c r="K18" s="19">
        <f t="shared" si="4"/>
        <v>0.1601123596</v>
      </c>
      <c r="L18" s="20"/>
    </row>
    <row r="19">
      <c r="B19" s="1">
        <v>2019.0</v>
      </c>
      <c r="C19" s="19">
        <f t="shared" ref="C19:K19" si="5">C7/SUM($C7:$K7)</f>
        <v>0.01118568233</v>
      </c>
      <c r="D19" s="19">
        <f t="shared" si="5"/>
        <v>0.008948545861</v>
      </c>
      <c r="E19" s="19">
        <f t="shared" si="5"/>
        <v>0.3266219239</v>
      </c>
      <c r="F19" s="19">
        <f t="shared" si="5"/>
        <v>0.1476510067</v>
      </c>
      <c r="G19" s="19">
        <f t="shared" si="5"/>
        <v>0.0581655481</v>
      </c>
      <c r="H19" s="19">
        <f t="shared" si="5"/>
        <v>0.1521252796</v>
      </c>
      <c r="I19" s="19">
        <f t="shared" si="5"/>
        <v>0.03355704698</v>
      </c>
      <c r="J19" s="19">
        <f t="shared" si="5"/>
        <v>0.08724832215</v>
      </c>
      <c r="K19" s="19">
        <f t="shared" si="5"/>
        <v>0.1744966443</v>
      </c>
      <c r="L19" s="20"/>
    </row>
    <row r="20">
      <c r="B20" s="1">
        <v>2020.0</v>
      </c>
      <c r="C20" s="19">
        <f t="shared" ref="C20:K20" si="6">C8/SUM($C8:$K8)</f>
        <v>0.01098901099</v>
      </c>
      <c r="D20" s="19">
        <f t="shared" si="6"/>
        <v>0.005494505495</v>
      </c>
      <c r="E20" s="19">
        <f t="shared" si="6"/>
        <v>0.3534798535</v>
      </c>
      <c r="F20" s="19">
        <f t="shared" si="6"/>
        <v>0.1282051282</v>
      </c>
      <c r="G20" s="19">
        <f t="shared" si="6"/>
        <v>0.06043956044</v>
      </c>
      <c r="H20" s="19">
        <f t="shared" si="6"/>
        <v>0.1318681319</v>
      </c>
      <c r="I20" s="19">
        <f t="shared" si="6"/>
        <v>0.03846153846</v>
      </c>
      <c r="J20" s="19">
        <f t="shared" si="6"/>
        <v>0.07875457875</v>
      </c>
      <c r="K20" s="19">
        <f t="shared" si="6"/>
        <v>0.1923076923</v>
      </c>
      <c r="L20" s="20"/>
    </row>
    <row r="21">
      <c r="B21" s="1">
        <v>2021.0</v>
      </c>
      <c r="C21" s="19">
        <f t="shared" ref="C21:K21" si="7">C9/SUM($C9:$K9)</f>
        <v>0.01040118871</v>
      </c>
      <c r="D21" s="19">
        <f t="shared" si="7"/>
        <v>0.004457652303</v>
      </c>
      <c r="E21" s="19">
        <f t="shared" si="7"/>
        <v>0.3774145617</v>
      </c>
      <c r="F21" s="19">
        <f t="shared" si="7"/>
        <v>0.1054977712</v>
      </c>
      <c r="G21" s="19">
        <f t="shared" si="7"/>
        <v>0.05794947994</v>
      </c>
      <c r="H21" s="19">
        <f t="shared" si="7"/>
        <v>0.1515601783</v>
      </c>
      <c r="I21" s="19">
        <f t="shared" si="7"/>
        <v>0.04309063893</v>
      </c>
      <c r="J21" s="19">
        <f t="shared" si="7"/>
        <v>0.05052005944</v>
      </c>
      <c r="K21" s="19">
        <f t="shared" si="7"/>
        <v>0.1991084695</v>
      </c>
      <c r="L21" s="20"/>
    </row>
    <row r="22">
      <c r="B22" s="1">
        <v>2022.0</v>
      </c>
      <c r="C22" s="19">
        <f t="shared" ref="C22:K22" si="8">C10/SUM($C10:$K10)</f>
        <v>0.01</v>
      </c>
      <c r="D22" s="19">
        <f t="shared" si="8"/>
        <v>0.00375</v>
      </c>
      <c r="E22" s="19">
        <f t="shared" si="8"/>
        <v>0.405</v>
      </c>
      <c r="F22" s="19">
        <f t="shared" si="8"/>
        <v>0.08875</v>
      </c>
      <c r="G22" s="19">
        <f t="shared" si="8"/>
        <v>0.055</v>
      </c>
      <c r="H22" s="19">
        <f t="shared" si="8"/>
        <v>0.15</v>
      </c>
      <c r="I22" s="19">
        <f t="shared" si="8"/>
        <v>0.035</v>
      </c>
      <c r="J22" s="19">
        <f t="shared" si="8"/>
        <v>0.04</v>
      </c>
      <c r="K22" s="19">
        <f t="shared" si="8"/>
        <v>0.2125</v>
      </c>
      <c r="L22" s="20"/>
    </row>
    <row r="23">
      <c r="B23" s="1">
        <v>2023.0</v>
      </c>
      <c r="C23" s="19">
        <f t="shared" ref="C23:K23" si="9">C11/SUM($C11:$K11)</f>
        <v>0.009761388286</v>
      </c>
      <c r="D23" s="19">
        <f t="shared" si="9"/>
        <v>0.003253796095</v>
      </c>
      <c r="E23" s="19">
        <f t="shared" si="9"/>
        <v>0.4034707158</v>
      </c>
      <c r="F23" s="19">
        <f t="shared" si="9"/>
        <v>0.0748373102</v>
      </c>
      <c r="G23" s="19">
        <f t="shared" si="9"/>
        <v>0.05097613883</v>
      </c>
      <c r="H23" s="19">
        <f t="shared" si="9"/>
        <v>0.1518438178</v>
      </c>
      <c r="I23" s="19">
        <f t="shared" si="9"/>
        <v>0.03579175705</v>
      </c>
      <c r="J23" s="19">
        <f t="shared" si="9"/>
        <v>0.03796095445</v>
      </c>
      <c r="K23" s="19">
        <f t="shared" si="9"/>
        <v>0.2321041215</v>
      </c>
      <c r="L23" s="20"/>
    </row>
    <row r="24">
      <c r="B24" s="1">
        <v>2024.0</v>
      </c>
      <c r="C24" s="19">
        <f t="shared" ref="C24:K24" si="10">C12/SUM($C12:$K12)</f>
        <v>0.009389671362</v>
      </c>
      <c r="D24" s="19">
        <f t="shared" si="10"/>
        <v>0.002816901408</v>
      </c>
      <c r="E24" s="19">
        <f t="shared" si="10"/>
        <v>0.3840375587</v>
      </c>
      <c r="F24" s="19">
        <f t="shared" si="10"/>
        <v>0.06666666667</v>
      </c>
      <c r="G24" s="19">
        <f t="shared" si="10"/>
        <v>0.0544600939</v>
      </c>
      <c r="H24" s="19">
        <f t="shared" si="10"/>
        <v>0.1868544601</v>
      </c>
      <c r="I24" s="19">
        <f t="shared" si="10"/>
        <v>0.04131455399</v>
      </c>
      <c r="J24" s="19">
        <f t="shared" si="10"/>
        <v>0.03849765258</v>
      </c>
      <c r="K24" s="19">
        <f t="shared" si="10"/>
        <v>0.2159624413</v>
      </c>
      <c r="L24" s="20"/>
    </row>
    <row r="25">
      <c r="C25" s="20"/>
      <c r="D25" s="20"/>
      <c r="E25" s="20"/>
      <c r="F25" s="20"/>
      <c r="G25" s="20"/>
      <c r="H25" s="20"/>
      <c r="I25" s="20"/>
      <c r="J25" s="20"/>
      <c r="K25" s="20"/>
    </row>
    <row r="47">
      <c r="B47" s="4" t="s">
        <v>1</v>
      </c>
    </row>
    <row r="48">
      <c r="B48" s="4" t="s">
        <v>21</v>
      </c>
    </row>
    <row r="49">
      <c r="B49" s="5" t="s">
        <v>22</v>
      </c>
    </row>
  </sheetData>
  <hyperlinks>
    <hyperlink r:id="rId1" ref="B49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15" width="5.5"/>
  </cols>
  <sheetData>
    <row r="2">
      <c r="A2" s="4" t="s">
        <v>23</v>
      </c>
      <c r="B2" s="5" t="s">
        <v>24</v>
      </c>
    </row>
    <row r="3">
      <c r="A3" s="4" t="s">
        <v>25</v>
      </c>
      <c r="B3" s="5" t="s">
        <v>26</v>
      </c>
    </row>
    <row r="4">
      <c r="A4" s="4" t="s">
        <v>27</v>
      </c>
      <c r="B4" s="5" t="s">
        <v>28</v>
      </c>
    </row>
    <row r="5">
      <c r="A5" s="4" t="s">
        <v>29</v>
      </c>
      <c r="B5" s="5" t="s">
        <v>30</v>
      </c>
    </row>
    <row r="10">
      <c r="B10" s="4" t="s">
        <v>31</v>
      </c>
    </row>
    <row r="11">
      <c r="B11" s="21" t="s">
        <v>20</v>
      </c>
      <c r="C11" s="22">
        <v>2012.0</v>
      </c>
      <c r="D11" s="22">
        <v>2013.0</v>
      </c>
      <c r="E11" s="22">
        <v>2014.0</v>
      </c>
      <c r="F11" s="22">
        <v>2015.0</v>
      </c>
      <c r="G11" s="22">
        <v>2016.0</v>
      </c>
      <c r="H11" s="22">
        <v>2017.0</v>
      </c>
      <c r="I11" s="22">
        <v>2018.0</v>
      </c>
      <c r="J11" s="22">
        <v>2019.0</v>
      </c>
      <c r="K11" s="22">
        <v>2020.0</v>
      </c>
      <c r="L11" s="22">
        <v>2021.0</v>
      </c>
      <c r="M11" s="22">
        <v>2022.0</v>
      </c>
      <c r="N11" s="22">
        <v>2023.0</v>
      </c>
      <c r="O11" s="22">
        <v>2024.0</v>
      </c>
    </row>
    <row r="12">
      <c r="B12" s="23" t="s">
        <v>23</v>
      </c>
      <c r="C12" s="24">
        <v>0.0371</v>
      </c>
      <c r="D12" s="24">
        <v>-0.1263</v>
      </c>
      <c r="E12" s="24">
        <v>-0.0276</v>
      </c>
      <c r="F12" s="24">
        <v>0.0541</v>
      </c>
      <c r="G12" s="24">
        <v>0.3233</v>
      </c>
      <c r="H12" s="24">
        <v>0.1941</v>
      </c>
      <c r="I12" s="24">
        <v>0.0562</v>
      </c>
      <c r="J12" s="24">
        <v>0.3598</v>
      </c>
      <c r="K12" s="24">
        <v>-0.1024</v>
      </c>
      <c r="L12" s="24">
        <v>-0.0228</v>
      </c>
      <c r="M12" s="24">
        <v>0.0222</v>
      </c>
      <c r="N12" s="24">
        <v>0.155</v>
      </c>
      <c r="O12" s="24">
        <v>-0.0589</v>
      </c>
    </row>
    <row r="13">
      <c r="B13" s="23" t="s">
        <v>27</v>
      </c>
      <c r="C13" s="24">
        <v>0.074</v>
      </c>
      <c r="D13" s="24">
        <v>-0.155</v>
      </c>
      <c r="E13" s="24">
        <v>-0.0291</v>
      </c>
      <c r="F13" s="24">
        <v>-0.1331</v>
      </c>
      <c r="G13" s="24">
        <v>0.3893</v>
      </c>
      <c r="H13" s="24">
        <v>0.2686</v>
      </c>
      <c r="I13" s="24">
        <v>0.1503</v>
      </c>
      <c r="J13" s="24">
        <v>0.3158</v>
      </c>
      <c r="K13" s="24">
        <v>0.0292</v>
      </c>
      <c r="L13" s="24">
        <v>-0.1193</v>
      </c>
      <c r="M13" s="24">
        <v>0.0469</v>
      </c>
      <c r="N13" s="24">
        <v>0.2228</v>
      </c>
      <c r="O13" s="24">
        <v>-0.1036</v>
      </c>
    </row>
    <row r="14">
      <c r="B14" s="23" t="s">
        <v>25</v>
      </c>
      <c r="C14" s="24">
        <v>0.0841</v>
      </c>
      <c r="D14" s="24">
        <v>0.0805</v>
      </c>
      <c r="E14" s="24">
        <v>0.1081</v>
      </c>
      <c r="F14" s="24">
        <v>0.1323</v>
      </c>
      <c r="G14" s="24">
        <v>0.14</v>
      </c>
      <c r="H14" s="24">
        <v>0.0995</v>
      </c>
      <c r="I14" s="24">
        <v>0.0642</v>
      </c>
      <c r="J14" s="24">
        <v>0.0597</v>
      </c>
      <c r="K14" s="24">
        <v>0.0277</v>
      </c>
      <c r="L14" s="24">
        <v>0.044</v>
      </c>
      <c r="M14" s="24">
        <v>0.1237</v>
      </c>
      <c r="N14" s="24">
        <v>0.1305</v>
      </c>
      <c r="O14" s="24">
        <v>0.1087</v>
      </c>
    </row>
    <row r="15">
      <c r="B15" s="23" t="s">
        <v>29</v>
      </c>
      <c r="C15" s="24">
        <v>0.0584</v>
      </c>
      <c r="D15" s="24">
        <v>0.0591</v>
      </c>
      <c r="E15" s="24">
        <v>0.0641</v>
      </c>
      <c r="F15" s="24">
        <v>0.1067</v>
      </c>
      <c r="G15" s="24">
        <v>0.0629</v>
      </c>
      <c r="H15" s="24">
        <v>0.0295</v>
      </c>
      <c r="I15" s="24">
        <v>0.0375</v>
      </c>
      <c r="J15" s="24">
        <v>0.0431</v>
      </c>
      <c r="K15" s="24">
        <v>0.0452</v>
      </c>
      <c r="L15" s="24">
        <v>0.1006</v>
      </c>
      <c r="M15" s="24">
        <v>0.0578</v>
      </c>
      <c r="N15" s="24">
        <v>0.0462</v>
      </c>
      <c r="O15" s="24">
        <v>0.0483</v>
      </c>
    </row>
    <row r="18">
      <c r="C18" s="25">
        <f>CORREL(C12:O12,C13:O13)</f>
        <v>0.8805777891</v>
      </c>
    </row>
    <row r="21">
      <c r="B21" s="21" t="s">
        <v>20</v>
      </c>
      <c r="C21" s="22">
        <v>2012.0</v>
      </c>
      <c r="D21" s="22">
        <v>2013.0</v>
      </c>
      <c r="E21" s="22">
        <v>2014.0</v>
      </c>
      <c r="F21" s="22">
        <v>2015.0</v>
      </c>
      <c r="G21" s="22">
        <v>2016.0</v>
      </c>
      <c r="H21" s="22">
        <v>2017.0</v>
      </c>
      <c r="I21" s="22">
        <v>2018.0</v>
      </c>
      <c r="J21" s="22">
        <v>2019.0</v>
      </c>
      <c r="K21" s="22">
        <v>2020.0</v>
      </c>
      <c r="L21" s="22">
        <v>2021.0</v>
      </c>
      <c r="M21" s="22">
        <v>2022.0</v>
      </c>
      <c r="N21" s="22">
        <v>2023.0</v>
      </c>
      <c r="O21" s="22">
        <v>2024.0</v>
      </c>
    </row>
    <row r="22">
      <c r="B22" s="23" t="s">
        <v>23</v>
      </c>
      <c r="C22" s="26">
        <f t="shared" ref="C22:C25" si="2">(1+C12)</f>
        <v>1.0371</v>
      </c>
      <c r="D22" s="26">
        <f t="shared" ref="D22:O22" si="1">(1+D12)*C22</f>
        <v>0.90611427</v>
      </c>
      <c r="E22" s="26">
        <f t="shared" si="1"/>
        <v>0.8811055161</v>
      </c>
      <c r="F22" s="26">
        <f t="shared" si="1"/>
        <v>0.9287733246</v>
      </c>
      <c r="G22" s="26">
        <f t="shared" si="1"/>
        <v>1.22904574</v>
      </c>
      <c r="H22" s="26">
        <f t="shared" si="1"/>
        <v>1.467603519</v>
      </c>
      <c r="I22" s="26">
        <f t="shared" si="1"/>
        <v>1.550082836</v>
      </c>
      <c r="J22" s="26">
        <f t="shared" si="1"/>
        <v>2.107802641</v>
      </c>
      <c r="K22" s="26">
        <f t="shared" si="1"/>
        <v>1.89196365</v>
      </c>
      <c r="L22" s="26">
        <f t="shared" si="1"/>
        <v>1.848826879</v>
      </c>
      <c r="M22" s="26">
        <f t="shared" si="1"/>
        <v>1.889870836</v>
      </c>
      <c r="N22" s="26">
        <f t="shared" si="1"/>
        <v>2.182800816</v>
      </c>
      <c r="O22" s="26">
        <f t="shared" si="1"/>
        <v>2.054233847</v>
      </c>
    </row>
    <row r="23">
      <c r="B23" s="23" t="s">
        <v>27</v>
      </c>
      <c r="C23" s="26">
        <f t="shared" si="2"/>
        <v>1.074</v>
      </c>
      <c r="D23" s="26">
        <f t="shared" ref="D23:O23" si="3">(1+D13)*C23</f>
        <v>0.90753</v>
      </c>
      <c r="E23" s="26">
        <f t="shared" si="3"/>
        <v>0.881120877</v>
      </c>
      <c r="F23" s="26">
        <f t="shared" si="3"/>
        <v>0.7638436883</v>
      </c>
      <c r="G23" s="26">
        <f t="shared" si="3"/>
        <v>1.061208036</v>
      </c>
      <c r="H23" s="26">
        <f t="shared" si="3"/>
        <v>1.346248515</v>
      </c>
      <c r="I23" s="26">
        <f t="shared" si="3"/>
        <v>1.548589666</v>
      </c>
      <c r="J23" s="26">
        <f t="shared" si="3"/>
        <v>2.037634283</v>
      </c>
      <c r="K23" s="26">
        <f t="shared" si="3"/>
        <v>2.097133204</v>
      </c>
      <c r="L23" s="26">
        <f t="shared" si="3"/>
        <v>1.846945213</v>
      </c>
      <c r="M23" s="26">
        <f t="shared" si="3"/>
        <v>1.933566943</v>
      </c>
      <c r="N23" s="26">
        <f t="shared" si="3"/>
        <v>2.364365658</v>
      </c>
      <c r="O23" s="26">
        <f t="shared" si="3"/>
        <v>2.119417376</v>
      </c>
    </row>
    <row r="24">
      <c r="B24" s="23" t="s">
        <v>25</v>
      </c>
      <c r="C24" s="26">
        <f t="shared" si="2"/>
        <v>1.0841</v>
      </c>
      <c r="D24" s="26">
        <f t="shared" ref="D24:O24" si="4">(1+D14)*C24</f>
        <v>1.17137005</v>
      </c>
      <c r="E24" s="26">
        <f t="shared" si="4"/>
        <v>1.297995152</v>
      </c>
      <c r="F24" s="26">
        <f t="shared" si="4"/>
        <v>1.469719911</v>
      </c>
      <c r="G24" s="26">
        <f t="shared" si="4"/>
        <v>1.675480699</v>
      </c>
      <c r="H24" s="26">
        <f t="shared" si="4"/>
        <v>1.842191028</v>
      </c>
      <c r="I24" s="26">
        <f t="shared" si="4"/>
        <v>1.960459692</v>
      </c>
      <c r="J24" s="26">
        <f t="shared" si="4"/>
        <v>2.077499136</v>
      </c>
      <c r="K24" s="26">
        <f t="shared" si="4"/>
        <v>2.135045862</v>
      </c>
      <c r="L24" s="26">
        <f t="shared" si="4"/>
        <v>2.22898788</v>
      </c>
      <c r="M24" s="26">
        <f t="shared" si="4"/>
        <v>2.50471368</v>
      </c>
      <c r="N24" s="26">
        <f t="shared" si="4"/>
        <v>2.831578816</v>
      </c>
      <c r="O24" s="26">
        <f t="shared" si="4"/>
        <v>3.139371433</v>
      </c>
    </row>
    <row r="25">
      <c r="B25" s="23" t="s">
        <v>29</v>
      </c>
      <c r="C25" s="26">
        <f t="shared" si="2"/>
        <v>1.0584</v>
      </c>
      <c r="D25" s="26">
        <f t="shared" ref="D25:O25" si="5">(1+D15)*C25</f>
        <v>1.12095144</v>
      </c>
      <c r="E25" s="26">
        <f t="shared" si="5"/>
        <v>1.192804427</v>
      </c>
      <c r="F25" s="26">
        <f t="shared" si="5"/>
        <v>1.32007666</v>
      </c>
      <c r="G25" s="26">
        <f t="shared" si="5"/>
        <v>1.403109482</v>
      </c>
      <c r="H25" s="26">
        <f t="shared" si="5"/>
        <v>1.444501211</v>
      </c>
      <c r="I25" s="26">
        <f t="shared" si="5"/>
        <v>1.498670007</v>
      </c>
      <c r="J25" s="26">
        <f t="shared" si="5"/>
        <v>1.563262684</v>
      </c>
      <c r="K25" s="26">
        <f t="shared" si="5"/>
        <v>1.633922157</v>
      </c>
      <c r="L25" s="26">
        <f t="shared" si="5"/>
        <v>1.798294726</v>
      </c>
      <c r="M25" s="26">
        <f t="shared" si="5"/>
        <v>1.902236162</v>
      </c>
      <c r="N25" s="26">
        <f t="shared" si="5"/>
        <v>1.990119472</v>
      </c>
      <c r="O25" s="26">
        <f t="shared" si="5"/>
        <v>2.086242243</v>
      </c>
    </row>
    <row r="27">
      <c r="B27" s="23" t="s">
        <v>32</v>
      </c>
      <c r="C27" s="26">
        <f t="shared" ref="C27:O27" si="6">C24*85%</f>
        <v>0.921485</v>
      </c>
      <c r="D27" s="26">
        <f t="shared" si="6"/>
        <v>0.9956645425</v>
      </c>
      <c r="E27" s="26">
        <f t="shared" si="6"/>
        <v>1.10329588</v>
      </c>
      <c r="F27" s="26">
        <f t="shared" si="6"/>
        <v>1.249261924</v>
      </c>
      <c r="G27" s="26">
        <f t="shared" si="6"/>
        <v>1.424158594</v>
      </c>
      <c r="H27" s="26">
        <f t="shared" si="6"/>
        <v>1.565862374</v>
      </c>
      <c r="I27" s="26">
        <f t="shared" si="6"/>
        <v>1.666390738</v>
      </c>
      <c r="J27" s="26">
        <f t="shared" si="6"/>
        <v>1.765874265</v>
      </c>
      <c r="K27" s="26">
        <f t="shared" si="6"/>
        <v>1.814788983</v>
      </c>
      <c r="L27" s="26">
        <f t="shared" si="6"/>
        <v>1.894639698</v>
      </c>
      <c r="M27" s="26">
        <f t="shared" si="6"/>
        <v>2.129006628</v>
      </c>
      <c r="N27" s="26">
        <f t="shared" si="6"/>
        <v>2.406841993</v>
      </c>
      <c r="O27" s="26">
        <f t="shared" si="6"/>
        <v>2.668465718</v>
      </c>
    </row>
    <row r="28">
      <c r="B28" s="23" t="s">
        <v>33</v>
      </c>
      <c r="C28" s="26">
        <f t="shared" ref="C28:O28" si="7">C25*85%</f>
        <v>0.89964</v>
      </c>
      <c r="D28" s="26">
        <f t="shared" si="7"/>
        <v>0.952808724</v>
      </c>
      <c r="E28" s="26">
        <f t="shared" si="7"/>
        <v>1.013883763</v>
      </c>
      <c r="F28" s="26">
        <f t="shared" si="7"/>
        <v>1.122065161</v>
      </c>
      <c r="G28" s="26">
        <f t="shared" si="7"/>
        <v>1.192643059</v>
      </c>
      <c r="H28" s="26">
        <f t="shared" si="7"/>
        <v>1.22782603</v>
      </c>
      <c r="I28" s="26">
        <f t="shared" si="7"/>
        <v>1.273869506</v>
      </c>
      <c r="J28" s="26">
        <f t="shared" si="7"/>
        <v>1.328773281</v>
      </c>
      <c r="K28" s="26">
        <f t="shared" si="7"/>
        <v>1.388833834</v>
      </c>
      <c r="L28" s="26">
        <f t="shared" si="7"/>
        <v>1.528550517</v>
      </c>
      <c r="M28" s="26">
        <f t="shared" si="7"/>
        <v>1.616900737</v>
      </c>
      <c r="N28" s="26">
        <f t="shared" si="7"/>
        <v>1.691601551</v>
      </c>
      <c r="O28" s="26">
        <f t="shared" si="7"/>
        <v>1.773305906</v>
      </c>
    </row>
  </sheetData>
  <conditionalFormatting sqref="C12:O12">
    <cfRule type="colorScale" priority="1">
      <colorScale>
        <cfvo type="min"/>
        <cfvo type="percentile" val="50"/>
        <cfvo type="max"/>
        <color rgb="FFF4CCCC"/>
        <color rgb="FFFFFFFF"/>
        <color rgb="FFD9EAD3"/>
      </colorScale>
    </cfRule>
  </conditionalFormatting>
  <conditionalFormatting sqref="C13:O13">
    <cfRule type="colorScale" priority="2">
      <colorScale>
        <cfvo type="min"/>
        <cfvo type="percentile" val="50"/>
        <cfvo type="max"/>
        <color rgb="FFF4CCCC"/>
        <color rgb="FFFFFFFF"/>
        <color rgb="FFD9EAD3"/>
      </colorScale>
    </cfRule>
  </conditionalFormatting>
  <hyperlinks>
    <hyperlink r:id="rId1" ref="B2"/>
    <hyperlink r:id="rId2" ref="B3"/>
    <hyperlink r:id="rId3" ref="B4"/>
    <hyperlink r:id="rId4" ref="B5"/>
  </hyperlinks>
  <drawing r:id="rId5"/>
</worksheet>
</file>